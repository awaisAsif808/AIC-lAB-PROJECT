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 activeTab="4"/>
  </bookViews>
  <sheets>
    <sheet name="Raw Data" sheetId="1" r:id="rId1"/>
    <sheet name="Calculations" sheetId="2" r:id="rId2"/>
    <sheet name="Booking Data" sheetId="6" r:id="rId3"/>
    <sheet name="Login-Sign-up" sheetId="5" r:id="rId4"/>
    <sheet name=" Summary Dashboar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<sst xmlns="http://schemas.openxmlformats.org/spreadsheetml/2006/main" count="89" uniqueCount="74">
  <si>
    <t>Car Number</t>
  </si>
  <si>
    <t>Car Name</t>
  </si>
  <si>
    <t>Category</t>
  </si>
  <si>
    <t>Price/Day</t>
  </si>
  <si>
    <t>Quantity</t>
  </si>
  <si>
    <t>Status</t>
  </si>
  <si>
    <t>Car#1</t>
  </si>
  <si>
    <t>Toyota Corolla</t>
  </si>
  <si>
    <t>Economy</t>
  </si>
  <si>
    <t>Available</t>
  </si>
  <si>
    <t>Car#2</t>
  </si>
  <si>
    <t>Honda Civic</t>
  </si>
  <si>
    <t>Sedan</t>
  </si>
  <si>
    <t>Car#3</t>
  </si>
  <si>
    <t>BMW M5</t>
  </si>
  <si>
    <t>SUV</t>
  </si>
  <si>
    <t>Limited</t>
  </si>
  <si>
    <t>Car#4</t>
  </si>
  <si>
    <t>Suzuki Alto</t>
  </si>
  <si>
    <t>Car#5</t>
  </si>
  <si>
    <t>Land Cruiser</t>
  </si>
  <si>
    <t>Luxury</t>
  </si>
  <si>
    <t>Prize/Day</t>
  </si>
  <si>
    <t>Rental Days</t>
  </si>
  <si>
    <t>Total Cost</t>
  </si>
  <si>
    <t>BookingID</t>
  </si>
  <si>
    <t>UserID</t>
  </si>
  <si>
    <t>Start Date</t>
  </si>
  <si>
    <t>End Date</t>
  </si>
  <si>
    <t>Days</t>
  </si>
  <si>
    <t>B#1</t>
  </si>
  <si>
    <t>Confirmed</t>
  </si>
  <si>
    <t>B#2</t>
  </si>
  <si>
    <t>Pending</t>
  </si>
  <si>
    <t>B#3</t>
  </si>
  <si>
    <t>Cancelled</t>
  </si>
  <si>
    <t>B#4</t>
  </si>
  <si>
    <t>Full Name</t>
  </si>
  <si>
    <t>E-mail</t>
  </si>
  <si>
    <t>Contact Number</t>
  </si>
  <si>
    <t>Password</t>
  </si>
  <si>
    <t>User#1</t>
  </si>
  <si>
    <t>Ali Khan</t>
  </si>
  <si>
    <t>ali24@gmail.com</t>
  </si>
  <si>
    <t>0302-12346789</t>
  </si>
  <si>
    <t>ali987</t>
  </si>
  <si>
    <t>Active</t>
  </si>
  <si>
    <t>User#2</t>
  </si>
  <si>
    <t>Ahmad Ali</t>
  </si>
  <si>
    <t>ahmd@gmail.com</t>
  </si>
  <si>
    <t>0300-0234567</t>
  </si>
  <si>
    <t>ahmi877</t>
  </si>
  <si>
    <t>User#3</t>
  </si>
  <si>
    <t>Huzaifa</t>
  </si>
  <si>
    <t>huz@gmailcom</t>
  </si>
  <si>
    <t>0333-7896543</t>
  </si>
  <si>
    <t>huzaiifa8</t>
  </si>
  <si>
    <t>User#4</t>
  </si>
  <si>
    <t>Soban</t>
  </si>
  <si>
    <t>sobi@gmail.com</t>
  </si>
  <si>
    <t>0354-6677234</t>
  </si>
  <si>
    <t>sobi00</t>
  </si>
  <si>
    <t>User#5</t>
  </si>
  <si>
    <t>Hamza</t>
  </si>
  <si>
    <t>tayab@gmail.com</t>
  </si>
  <si>
    <t>0321-1234523</t>
  </si>
  <si>
    <t>hamza8</t>
  </si>
  <si>
    <t xml:space="preserve"> Data Summary</t>
  </si>
  <si>
    <t>Description</t>
  </si>
  <si>
    <t>Value</t>
  </si>
  <si>
    <t>Total Cars</t>
  </si>
  <si>
    <t>Available Cars</t>
  </si>
  <si>
    <t>Total Revenue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</si>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</sst>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1"/>
      <color theme="0"/>
      <name val="Calibri"/>
      <charset val="134"/>
    </font>
    <font>
      <u/>
      <sz val="11"/>
      <color theme="10"/>
      <name val="Aptos Narrow"/>
      <charset val="134"/>
      <scheme val="minor"/>
    </font>
    <font>
      <sz val="11"/>
      <color theme="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6" applyFill="1" applyBorder="1" applyAlignment="1">
      <alignment horizontal="center"/>
    </xf>
    <xf numFmtId="0" fontId="0" fillId="4" borderId="1" xfId="6" applyFont="1" applyFill="1" applyBorder="1" applyAlignment="1">
      <alignment horizontal="center"/>
    </xf>
    <xf numFmtId="58" fontId="0" fillId="4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Category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'Raw Data'!$B$2:$C$6</c:f>
              <c:multiLvlStrCache>
                <c:ptCount val="5"/>
                <c:lvl>
                  <c:pt idx="0">
                    <c:v>Economy</c:v>
                  </c:pt>
                  <c:pt idx="1">
                    <c:v>Sedan</c:v>
                  </c:pt>
                  <c:pt idx="2">
                    <c:v>SUV</c:v>
                  </c:pt>
                  <c:pt idx="3">
                    <c:v>Economy</c:v>
                  </c:pt>
                  <c:pt idx="4">
                    <c:v>Luxury</c:v>
                  </c:pt>
                </c:lvl>
                <c:lvl>
                  <c:pt idx="0">
                    <c:v>Toyota Corolla</c:v>
                  </c:pt>
                  <c:pt idx="1">
                    <c:v>Honda Civic</c:v>
                  </c:pt>
                  <c:pt idx="2">
                    <c:v>BMW M5</c:v>
                  </c:pt>
                  <c:pt idx="3">
                    <c:v>Suzuki Alto</c:v>
                  </c:pt>
                  <c:pt idx="4">
                    <c:v>Land Cruiser</c:v>
                  </c:pt>
                </c:lvl>
              </c:multiLvlStrCache>
            </c:multiLvlStrRef>
          </c:cat>
          <c:val>
            <c:numRef>
              <c:f>'Raw Data'!$D$2:$D$6</c:f>
              <c:numCache>
                <c:formatCode>General</c:formatCode>
                <c:ptCount val="5"/>
                <c:pt idx="0">
                  <c:v>5000</c:v>
                </c:pt>
                <c:pt idx="1">
                  <c:v>6500</c:v>
                </c:pt>
                <c:pt idx="2">
                  <c:v>12000</c:v>
                </c:pt>
                <c:pt idx="3">
                  <c:v>3500</c:v>
                </c:pt>
                <c:pt idx="4">
                  <c:v>15000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6001135"/>
        <c:axId val="813019903"/>
      </c:barChart>
      <c:catAx>
        <c:axId val="816001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019903"/>
        <c:crosses val="autoZero"/>
        <c:auto val="1"/>
        <c:lblAlgn val="ctr"/>
        <c:lblOffset val="100"/>
        <c:noMultiLvlLbl val="0"/>
      </c:catAx>
      <c:valAx>
        <c:axId val="8130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00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302e85-ab32-41fa-aa0b-568abd00fb0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per Car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Calculations!$D$1</c:f>
              <c:strCache>
                <c:ptCount val="1"/>
                <c:pt idx="0">
                  <c:v>Total Cost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Calculations!$A$2:$A$6</c:f>
              <c:strCache>
                <c:ptCount val="5"/>
                <c:pt idx="0">
                  <c:v>Toyota Corolla</c:v>
                </c:pt>
                <c:pt idx="1">
                  <c:v>Honda Civic</c:v>
                </c:pt>
                <c:pt idx="2">
                  <c:v>BMW M5</c:v>
                </c:pt>
                <c:pt idx="3">
                  <c:v>Suzuki Alto</c:v>
                </c:pt>
                <c:pt idx="4">
                  <c:v>Land Cruiser</c:v>
                </c:pt>
              </c:strCache>
            </c:strRef>
          </c:cat>
          <c:val>
            <c:numRef>
              <c:f>Calculations!$D$2:$D$6</c:f>
              <c:numCache>
                <c:formatCode>General</c:formatCode>
                <c:ptCount val="5"/>
                <c:pt idx="0">
                  <c:v>25000</c:v>
                </c:pt>
                <c:pt idx="1">
                  <c:v>26000</c:v>
                </c:pt>
                <c:pt idx="2">
                  <c:v>24000</c:v>
                </c:pt>
                <c:pt idx="3">
                  <c:v>21000</c:v>
                </c:pt>
                <c:pt idx="4">
                  <c:v>45000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130518431"/>
        <c:axId val="1130516511"/>
      </c:lineChart>
      <c:catAx>
        <c:axId val="11305184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516511"/>
        <c:crosses val="autoZero"/>
        <c:auto val="1"/>
        <c:lblAlgn val="ctr"/>
        <c:lblOffset val="100"/>
        <c:noMultiLvlLbl val="0"/>
      </c:catAx>
      <c:valAx>
        <c:axId val="11305165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51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8465e2-9072-468a-8476-bb9a4f27e84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Of Cars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'Raw Data'!$E$1</c:f>
              <c:strCache>
                <c:ptCount val="1"/>
                <c:pt idx="0">
                  <c:v>Quantity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139130434782609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Data'!$C$2:$C$6</c:f>
              <c:strCache>
                <c:ptCount val="5"/>
                <c:pt idx="0">
                  <c:v>Economy</c:v>
                </c:pt>
                <c:pt idx="1">
                  <c:v>Sedan</c:v>
                </c:pt>
                <c:pt idx="2">
                  <c:v>SUV</c:v>
                </c:pt>
                <c:pt idx="3">
                  <c:v>Economy</c:v>
                </c:pt>
                <c:pt idx="4">
                  <c:v>Luxury</c:v>
                </c:pt>
              </c:strCache>
            </c:strRef>
          </c:cat>
          <c:val>
            <c:numRef>
              <c:f>'Raw Data'!$E$2:$E$6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46d7b2-27f3-4474-8b6b-508fbcf887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447675</xdr:colOff>
      <xdr:row>9</xdr:row>
      <xdr:rowOff>95249</xdr:rowOff>
    </xdr:from>
    <xdr:to>
      <xdr:col>3</xdr:col>
      <xdr:colOff>600075</xdr:colOff>
      <xdr:row>18</xdr:row>
      <xdr:rowOff>142874</xdr:rowOff>
    </xdr:to>
    <xdr:graphicFrame>
      <xdr:nvGraphicFramePr>
        <xdr:cNvPr id="2" name="Chart 1"/>
        <xdr:cNvGraphicFramePr/>
      </xdr:nvGraphicFramePr>
      <xdr:xfrm>
        <a:off x="447675" y="1675765"/>
        <a:ext cx="3308985" cy="1590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9</xdr:row>
      <xdr:rowOff>85725</xdr:rowOff>
    </xdr:from>
    <xdr:to>
      <xdr:col>15</xdr:col>
      <xdr:colOff>238125</xdr:colOff>
      <xdr:row>18</xdr:row>
      <xdr:rowOff>171450</xdr:rowOff>
    </xdr:to>
    <xdr:graphicFrame>
      <xdr:nvGraphicFramePr>
        <xdr:cNvPr id="4" name="Chart 3"/>
        <xdr:cNvGraphicFramePr/>
      </xdr:nvGraphicFramePr>
      <xdr:xfrm>
        <a:off x="8169275" y="1666875"/>
        <a:ext cx="3476625" cy="1628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523874</xdr:colOff>
      <xdr:row>9</xdr:row>
      <xdr:rowOff>85724</xdr:rowOff>
    </xdr:from>
    <xdr:to>
      <xdr:col>9</xdr:col>
      <xdr:colOff>361949</xdr:colOff>
      <xdr:row>18</xdr:row>
      <xdr:rowOff>152399</xdr:rowOff>
    </xdr:to>
    <xdr:graphicFrame>
      <xdr:nvGraphicFramePr>
        <xdr:cNvPr id="6" name="Chart 5"/>
        <xdr:cNvGraphicFramePr/>
      </xdr:nvGraphicFramePr>
      <xdr:xfrm>
        <a:off x="4365625" y="1666240"/>
        <a:ext cx="3288665" cy="160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mailto:tayab@gmail.com" TargetMode="External"/><Relationship Id="rId4" Type="http://schemas.openxmlformats.org/officeDocument/2006/relationships/hyperlink" Target="mailto:sobi@gmail.com" TargetMode="External"/><Relationship Id="rId3" Type="http://schemas.openxmlformats.org/officeDocument/2006/relationships/hyperlink" Target="mailto:huz@gmailcom" TargetMode="External"/><Relationship Id="rId2" Type="http://schemas.openxmlformats.org/officeDocument/2006/relationships/hyperlink" Target="mailto:ahmd@gmail.com" TargetMode="External"/><Relationship Id="rId1" Type="http://schemas.openxmlformats.org/officeDocument/2006/relationships/hyperlink" Target="mailto:ali24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M7" sqref="M7"/>
    </sheetView>
  </sheetViews>
  <sheetFormatPr defaultColWidth="9" defaultRowHeight="13.5"/>
  <cols>
    <col min="1" max="1" width="12.1416666666667" customWidth="1"/>
    <col min="2" max="2" width="15.7083333333333" customWidth="1"/>
    <col min="3" max="3" width="12.2833333333333" customWidth="1"/>
    <col min="4" max="5" width="11.8583333333333" customWidth="1"/>
    <col min="6" max="6" width="12.425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</row>
    <row r="2" spans="1:6">
      <c r="A2" s="6" t="s">
        <v>6</v>
      </c>
      <c r="B2" s="6" t="s">
        <v>7</v>
      </c>
      <c r="C2" s="6" t="s">
        <v>8</v>
      </c>
      <c r="D2" s="6">
        <v>5000</v>
      </c>
      <c r="E2" s="6">
        <v>8</v>
      </c>
      <c r="F2" s="6" t="s">
        <v>9</v>
      </c>
    </row>
    <row r="3" spans="1:6">
      <c r="A3" s="6" t="s">
        <v>10</v>
      </c>
      <c r="B3" s="6" t="s">
        <v>11</v>
      </c>
      <c r="C3" s="6" t="s">
        <v>12</v>
      </c>
      <c r="D3" s="6">
        <v>6500</v>
      </c>
      <c r="E3" s="6">
        <v>6</v>
      </c>
      <c r="F3" s="6" t="s">
        <v>9</v>
      </c>
    </row>
    <row r="4" spans="1:6">
      <c r="A4" s="6" t="s">
        <v>13</v>
      </c>
      <c r="B4" s="6" t="s">
        <v>14</v>
      </c>
      <c r="C4" s="6" t="s">
        <v>15</v>
      </c>
      <c r="D4" s="6">
        <v>12000</v>
      </c>
      <c r="E4" s="6">
        <v>4</v>
      </c>
      <c r="F4" s="6" t="s">
        <v>16</v>
      </c>
    </row>
    <row r="5" spans="1:6">
      <c r="A5" s="6" t="s">
        <v>17</v>
      </c>
      <c r="B5" s="6" t="s">
        <v>18</v>
      </c>
      <c r="C5" s="6" t="s">
        <v>8</v>
      </c>
      <c r="D5" s="6">
        <v>3500</v>
      </c>
      <c r="E5" s="6">
        <v>10</v>
      </c>
      <c r="F5" s="6" t="s">
        <v>9</v>
      </c>
    </row>
    <row r="6" spans="1:6">
      <c r="A6" s="6" t="s">
        <v>19</v>
      </c>
      <c r="B6" s="6" t="s">
        <v>20</v>
      </c>
      <c r="C6" s="6" t="s">
        <v>21</v>
      </c>
      <c r="D6" s="6">
        <v>15000</v>
      </c>
      <c r="E6" s="5">
        <v>2</v>
      </c>
      <c r="F6" s="6" t="s">
        <v>16</v>
      </c>
    </row>
    <row r="8" ht="15" spans="11:15">
      <c r="K8" s="11"/>
      <c r="L8" s="11"/>
      <c r="M8" s="11"/>
      <c r="N8" s="11"/>
      <c r="O8" s="11"/>
    </row>
    <row r="9" spans="11:15">
      <c r="K9" s="13"/>
      <c r="L9" s="13"/>
      <c r="M9" s="13"/>
      <c r="O9" s="13"/>
    </row>
    <row r="10" spans="11:15">
      <c r="K10" s="13"/>
      <c r="L10" s="13"/>
      <c r="M10" s="13"/>
      <c r="O10" s="13"/>
    </row>
    <row r="11" spans="11:15">
      <c r="K11" s="13"/>
      <c r="L11" s="13"/>
      <c r="M11" s="13"/>
      <c r="O11" s="13"/>
    </row>
    <row r="12" spans="11:15">
      <c r="K12" s="13"/>
      <c r="L12" s="13"/>
      <c r="M12" s="13"/>
      <c r="O12" s="13"/>
    </row>
    <row r="13" spans="11:15">
      <c r="K13" s="13"/>
      <c r="L13" s="13"/>
      <c r="M13" s="13"/>
      <c r="O13" s="13"/>
    </row>
    <row r="14" ht="15" spans="3:4">
      <c r="C14" s="11"/>
      <c r="D14" s="12"/>
    </row>
    <row r="15" spans="3:3">
      <c r="C15" s="13"/>
    </row>
    <row r="16" spans="3:3">
      <c r="C16" s="13"/>
    </row>
    <row r="17" spans="3:3">
      <c r="C17" s="13"/>
    </row>
    <row r="18" spans="3:3">
      <c r="C18" s="13"/>
    </row>
    <row r="19" spans="3:3">
      <c r="C19" s="13"/>
    </row>
  </sheetData>
  <conditionalFormatting sqref="E4">
    <cfRule type="cellIs" dxfId="0" priority="2" operator="lessThan">
      <formula>5</formula>
    </cfRule>
    <cfRule type="cellIs" dxfId="1" priority="3" operator="lessThan">
      <formula>5</formula>
    </cfRule>
  </conditionalFormatting>
  <conditionalFormatting sqref="E6">
    <cfRule type="cellIs" dxfId="1" priority="1" operator="lessThan">
      <formula>5</formula>
    </cfRule>
  </conditionalFormatting>
  <conditionalFormatting sqref="E2:E6">
    <cfRule type="cellIs" dxfId="0" priority="6" operator="lessThan">
      <formula>3</formula>
    </cfRule>
  </conditionalFormatting>
  <dataValidations count="1">
    <dataValidation type="list" allowBlank="1" showInputMessage="1" showErrorMessage="1" sqref="F2:F6 O9:O13">
      <formula1>"Available,Limited,Booked"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21" sqref="A21"/>
    </sheetView>
  </sheetViews>
  <sheetFormatPr defaultColWidth="9" defaultRowHeight="13.5" outlineLevelRow="5" outlineLevelCol="3"/>
  <cols>
    <col min="1" max="4" width="14.7083333333333" customWidth="1"/>
  </cols>
  <sheetData>
    <row r="1" ht="15" spans="1:4">
      <c r="A1" s="1" t="s">
        <v>1</v>
      </c>
      <c r="B1" s="1" t="s">
        <v>22</v>
      </c>
      <c r="C1" s="1" t="s">
        <v>23</v>
      </c>
      <c r="D1" s="1" t="s">
        <v>24</v>
      </c>
    </row>
    <row r="2" spans="1:4">
      <c r="A2" s="6" t="str">
        <f>'Raw Data'!B2</f>
        <v>Toyota Corolla</v>
      </c>
      <c r="B2" s="6">
        <f>'Raw Data'!D2</f>
        <v>5000</v>
      </c>
      <c r="C2" s="6">
        <v>5</v>
      </c>
      <c r="D2" s="6">
        <f>B2*C2</f>
        <v>25000</v>
      </c>
    </row>
    <row r="3" spans="1:4">
      <c r="A3" s="6" t="str">
        <f>'Raw Data'!B3</f>
        <v>Honda Civic</v>
      </c>
      <c r="B3" s="6">
        <f>'Raw Data'!D3</f>
        <v>6500</v>
      </c>
      <c r="C3" s="6">
        <v>4</v>
      </c>
      <c r="D3" s="6">
        <f t="shared" ref="D3:D6" si="0">B3*C3</f>
        <v>26000</v>
      </c>
    </row>
    <row r="4" spans="1:4">
      <c r="A4" s="6" t="str">
        <f>'Raw Data'!B4</f>
        <v>BMW M5</v>
      </c>
      <c r="B4" s="6">
        <f>'Raw Data'!D4</f>
        <v>12000</v>
      </c>
      <c r="C4" s="6">
        <v>2</v>
      </c>
      <c r="D4" s="6">
        <f t="shared" si="0"/>
        <v>24000</v>
      </c>
    </row>
    <row r="5" spans="1:4">
      <c r="A5" s="6" t="str">
        <f>'Raw Data'!B5</f>
        <v>Suzuki Alto</v>
      </c>
      <c r="B5" s="6">
        <f>'Raw Data'!D5</f>
        <v>3500</v>
      </c>
      <c r="C5" s="6">
        <v>6</v>
      </c>
      <c r="D5" s="6">
        <f t="shared" si="0"/>
        <v>21000</v>
      </c>
    </row>
    <row r="6" spans="1:4">
      <c r="A6" s="6" t="str">
        <f>'Raw Data'!B6</f>
        <v>Land Cruiser</v>
      </c>
      <c r="B6" s="6">
        <f>'Raw Data'!D6</f>
        <v>15000</v>
      </c>
      <c r="C6" s="6">
        <v>3</v>
      </c>
      <c r="D6" s="6">
        <f t="shared" si="0"/>
        <v>45000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J10" sqref="J10"/>
    </sheetView>
  </sheetViews>
  <sheetFormatPr defaultColWidth="9" defaultRowHeight="13.5" outlineLevelRow="5" outlineLevelCol="7"/>
  <cols>
    <col min="1" max="1" width="11" customWidth="1"/>
    <col min="2" max="2" width="11.5666666666667" customWidth="1"/>
    <col min="3" max="3" width="14.1416666666667" customWidth="1"/>
    <col min="4" max="4" width="14.425" customWidth="1"/>
    <col min="5" max="5" width="13.7083333333333" customWidth="1"/>
    <col min="6" max="6" width="8.70833333333333" customWidth="1"/>
    <col min="7" max="7" width="10.8583333333333" customWidth="1"/>
    <col min="8" max="8" width="12.2833333333333" customWidth="1"/>
  </cols>
  <sheetData>
    <row r="1" ht="15" spans="1:8">
      <c r="A1" s="1" t="s">
        <v>25</v>
      </c>
      <c r="B1" s="1" t="s">
        <v>26</v>
      </c>
      <c r="C1" s="1" t="s">
        <v>1</v>
      </c>
      <c r="D1" s="1" t="s">
        <v>27</v>
      </c>
      <c r="E1" s="1" t="s">
        <v>28</v>
      </c>
      <c r="F1" s="1" t="s">
        <v>29</v>
      </c>
      <c r="G1" s="1" t="s">
        <v>24</v>
      </c>
      <c r="H1" s="1" t="s">
        <v>5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6" t="s">
        <v>30</v>
      </c>
      <c r="B3" s="6" t="str">
        <f>'Login-Sign-up'!A3</f>
        <v>User#1</v>
      </c>
      <c r="C3" s="6" t="str">
        <f>'Raw Data'!B2</f>
        <v>Toyota Corolla</v>
      </c>
      <c r="D3" s="9">
        <v>46027</v>
      </c>
      <c r="E3" s="9">
        <v>46147</v>
      </c>
      <c r="F3" s="6">
        <v>4</v>
      </c>
      <c r="G3" s="6">
        <v>20000</v>
      </c>
      <c r="H3" s="6" t="s">
        <v>31</v>
      </c>
    </row>
    <row r="4" spans="1:8">
      <c r="A4" s="6" t="s">
        <v>32</v>
      </c>
      <c r="B4" s="6" t="str">
        <f>'Login-Sign-up'!A4</f>
        <v>User#2</v>
      </c>
      <c r="C4" s="6" t="str">
        <f>'Raw Data'!B3</f>
        <v>Honda Civic</v>
      </c>
      <c r="D4" s="9">
        <v>46058</v>
      </c>
      <c r="E4" s="9">
        <v>46178</v>
      </c>
      <c r="F4" s="6">
        <v>4</v>
      </c>
      <c r="G4" s="6">
        <f>Calculations!D3</f>
        <v>26000</v>
      </c>
      <c r="H4" s="6" t="s">
        <v>33</v>
      </c>
    </row>
    <row r="5" spans="1:8">
      <c r="A5" s="6" t="s">
        <v>34</v>
      </c>
      <c r="B5" s="6" t="str">
        <f>'Login-Sign-up'!A5</f>
        <v>User#3</v>
      </c>
      <c r="C5" s="6" t="str">
        <f>'Raw Data'!B4</f>
        <v>BMW M5</v>
      </c>
      <c r="D5" s="9">
        <v>46086</v>
      </c>
      <c r="E5" s="9">
        <v>46117</v>
      </c>
      <c r="F5" s="6">
        <v>1</v>
      </c>
      <c r="G5" s="6">
        <v>12000</v>
      </c>
      <c r="H5" s="6" t="s">
        <v>35</v>
      </c>
    </row>
    <row r="6" spans="1:8">
      <c r="A6" s="6" t="s">
        <v>36</v>
      </c>
      <c r="B6" s="6" t="str">
        <f>'Login-Sign-up'!A6</f>
        <v>User#4</v>
      </c>
      <c r="C6" s="6" t="str">
        <f>'Raw Data'!B5</f>
        <v>Suzuki Alto</v>
      </c>
      <c r="D6" s="9">
        <v>46117</v>
      </c>
      <c r="E6" s="9">
        <v>46239</v>
      </c>
      <c r="F6" s="6">
        <v>4</v>
      </c>
      <c r="G6" s="6">
        <v>14000</v>
      </c>
      <c r="H6" s="6" t="s">
        <v>31</v>
      </c>
    </row>
  </sheetData>
  <dataValidations count="1">
    <dataValidation type="list" allowBlank="1" showInputMessage="1" showErrorMessage="1" sqref="H3:H6">
      <formula1>"Confirmed,Pending,Cancelled"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13" sqref="C13"/>
    </sheetView>
  </sheetViews>
  <sheetFormatPr defaultColWidth="9" defaultRowHeight="13.5" outlineLevelRow="6" outlineLevelCol="5"/>
  <cols>
    <col min="1" max="1" width="12" customWidth="1"/>
    <col min="2" max="2" width="13.7083333333333" customWidth="1"/>
    <col min="3" max="3" width="18.5666666666667" customWidth="1"/>
    <col min="4" max="4" width="16.7083333333333" customWidth="1"/>
    <col min="5" max="5" width="12" customWidth="1"/>
    <col min="6" max="6" width="10.8583333333333" customWidth="1"/>
  </cols>
  <sheetData>
    <row r="1" ht="15" spans="1:6">
      <c r="A1" s="1" t="s">
        <v>26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5</v>
      </c>
    </row>
    <row r="2" spans="1:6">
      <c r="A2" s="2"/>
      <c r="B2" s="5"/>
      <c r="C2" s="5"/>
      <c r="D2" s="5"/>
      <c r="E2" s="2"/>
      <c r="F2" s="2"/>
    </row>
    <row r="3" spans="1:6">
      <c r="A3" s="6" t="s">
        <v>41</v>
      </c>
      <c r="B3" s="6" t="s">
        <v>42</v>
      </c>
      <c r="C3" s="7" t="s">
        <v>43</v>
      </c>
      <c r="D3" s="6" t="s">
        <v>44</v>
      </c>
      <c r="E3" s="6" t="s">
        <v>45</v>
      </c>
      <c r="F3" s="6" t="s">
        <v>46</v>
      </c>
    </row>
    <row r="4" spans="1:6">
      <c r="A4" s="6" t="s">
        <v>47</v>
      </c>
      <c r="B4" s="6" t="s">
        <v>48</v>
      </c>
      <c r="C4" s="7" t="s">
        <v>49</v>
      </c>
      <c r="D4" s="6" t="s">
        <v>50</v>
      </c>
      <c r="E4" s="6" t="s">
        <v>51</v>
      </c>
      <c r="F4" s="6" t="s">
        <v>46</v>
      </c>
    </row>
    <row r="5" spans="1:6">
      <c r="A5" s="6" t="s">
        <v>52</v>
      </c>
      <c r="B5" s="6" t="s">
        <v>53</v>
      </c>
      <c r="C5" s="7" t="s">
        <v>54</v>
      </c>
      <c r="D5" s="6" t="s">
        <v>55</v>
      </c>
      <c r="E5" s="6" t="s">
        <v>56</v>
      </c>
      <c r="F5" s="6" t="s">
        <v>46</v>
      </c>
    </row>
    <row r="6" spans="1:6">
      <c r="A6" s="6" t="s">
        <v>57</v>
      </c>
      <c r="B6" s="6" t="s">
        <v>58</v>
      </c>
      <c r="C6" s="7" t="s">
        <v>59</v>
      </c>
      <c r="D6" s="6" t="s">
        <v>60</v>
      </c>
      <c r="E6" s="6" t="s">
        <v>61</v>
      </c>
      <c r="F6" s="6" t="s">
        <v>46</v>
      </c>
    </row>
    <row r="7" spans="1:6">
      <c r="A7" s="6" t="s">
        <v>62</v>
      </c>
      <c r="B7" s="6" t="s">
        <v>63</v>
      </c>
      <c r="C7" s="7" t="s">
        <v>64</v>
      </c>
      <c r="D7" s="6" t="s">
        <v>65</v>
      </c>
      <c r="E7" s="8" t="s">
        <v>66</v>
      </c>
      <c r="F7" s="6" t="s">
        <v>46</v>
      </c>
    </row>
  </sheetData>
  <hyperlinks>
    <hyperlink ref="C3" r:id="rId1" display="ali24@gmail.com"/>
    <hyperlink ref="C4" r:id="rId2" display="ahmd@gmail.com"/>
    <hyperlink ref="C5" r:id="rId3" display="huz@gmailcom"/>
    <hyperlink ref="C6" r:id="rId4" display="sobi@gmail.com"/>
    <hyperlink ref="C7" r:id="rId5" display="tayab@gmail.com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L7" sqref="L7"/>
    </sheetView>
  </sheetViews>
  <sheetFormatPr defaultColWidth="9" defaultRowHeight="13.5" outlineLevelRow="6" outlineLevelCol="1"/>
  <cols>
    <col min="1" max="1" width="16" customWidth="1"/>
    <col min="2" max="2" width="16.425" customWidth="1"/>
    <col min="5" max="6" width="9.14166666666667" customWidth="1"/>
  </cols>
  <sheetData>
    <row r="1" ht="15" spans="1:2">
      <c r="A1" s="1" t="s">
        <v>67</v>
      </c>
      <c r="B1" s="1"/>
    </row>
    <row r="2" spans="1:2">
      <c r="A2" s="2"/>
      <c r="B2" s="2"/>
    </row>
    <row r="3" ht="15" spans="1:2">
      <c r="A3" s="3" t="s">
        <v>68</v>
      </c>
      <c r="B3" s="3" t="s">
        <v>69</v>
      </c>
    </row>
    <row r="4" spans="1:2">
      <c r="A4" s="4" t="s">
        <v>70</v>
      </c>
      <c r="B4" s="4">
        <f>SUM('Raw Data'!E2:E6)</f>
        <v>30</v>
      </c>
    </row>
    <row r="5" spans="1:2">
      <c r="A5" s="4" t="s">
        <v>71</v>
      </c>
      <c r="B5" s="4">
        <f>COUNTIF('Raw Data'!F2:F6,"Available")</f>
        <v>3</v>
      </c>
    </row>
    <row r="6" spans="1:2">
      <c r="A6" s="4" t="s">
        <v>72</v>
      </c>
      <c r="B6" s="4">
        <f>SUM('Booking Data'!G3:G6)</f>
        <v>72000</v>
      </c>
    </row>
    <row r="7" spans="1:2">
      <c r="A7" s="4" t="s">
        <v>73</v>
      </c>
      <c r="B7" s="4">
        <f>AVERAGE('Raw Data'!D2:D6)</f>
        <v>8400</v>
      </c>
    </row>
  </sheetData>
  <mergeCells count="1">
    <mergeCell ref="A1:B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 Data</vt:lpstr>
      <vt:lpstr>Calculations</vt:lpstr>
      <vt:lpstr>Booking Data</vt:lpstr>
      <vt:lpstr>Login-Sign-up</vt:lpstr>
      <vt:lpstr> 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....</dc:creator>
  <cp:lastModifiedBy>A-ONE COMPUTERS</cp:lastModifiedBy>
  <dcterms:created xsi:type="dcterms:W3CDTF">2026-01-02T14:23:00Z</dcterms:created>
  <dcterms:modified xsi:type="dcterms:W3CDTF">2026-01-06T15:25:47Z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5376AC32616647F1A38B5CC57511E019_12</vt:lpwstr>
  </property>
  <property fmtid="{D5CDD505-2E9C-101B-9397-08002B2CF9AE}" pid="3" name="KSOProductBuildVer">
    <vt:lpwstr>1033-12.2.0.23196</vt:lpwstr>
  </property>
</Properties>
</file>